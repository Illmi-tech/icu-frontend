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FIT AND LOSS PROJECTION" sheetId="4" r:id="rId1"/>
    <sheet name="CASHFLOW PROJECTION" sheetId="1" r:id="rId2"/>
    <sheet name="FINANCIAL REQUIR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<sst xmlns="http://schemas.openxmlformats.org/spreadsheetml/2006/main" count="129" uniqueCount="91">
  <si>
    <t>Projected Profit and Loss (Profit Forcast)</t>
  </si>
  <si>
    <t>1ST  MTHS</t>
  </si>
  <si>
    <t>2ND MTHS</t>
  </si>
  <si>
    <t>3RD MTHS</t>
  </si>
  <si>
    <t>4TH MTHS</t>
  </si>
  <si>
    <t>5TH MTHS</t>
  </si>
  <si>
    <t>6TH MTHS</t>
  </si>
  <si>
    <t>7TH MONTHS</t>
  </si>
  <si>
    <t>8th MONTHS</t>
  </si>
  <si>
    <t>9th MONTHS</t>
  </si>
  <si>
    <t>10th MONTHS</t>
  </si>
  <si>
    <t>11th MONTHS</t>
  </si>
  <si>
    <t>12th MONTHS</t>
  </si>
  <si>
    <t>TOTAL</t>
  </si>
  <si>
    <t>Income</t>
  </si>
  <si>
    <t>N</t>
  </si>
  <si>
    <t>Sales</t>
  </si>
  <si>
    <t>Other income</t>
  </si>
  <si>
    <t>Total</t>
  </si>
  <si>
    <t>Cost of Sale</t>
  </si>
  <si>
    <t>Cost of Sale (electricity, packaging, material etc)</t>
  </si>
  <si>
    <t>Total Cost of  Sale</t>
  </si>
  <si>
    <t>Gross Profit</t>
  </si>
  <si>
    <t>Administrative Expenses</t>
  </si>
  <si>
    <t>Salary</t>
  </si>
  <si>
    <t>Rent</t>
  </si>
  <si>
    <t>Other administrative expenses</t>
  </si>
  <si>
    <t>Total Expenses</t>
  </si>
  <si>
    <t>Net Profit</t>
  </si>
  <si>
    <t>Cashflow Projection</t>
  </si>
  <si>
    <t>PROJECTED CASHFLOW FOR 12 MONTHS</t>
  </si>
  <si>
    <t>YEAR</t>
  </si>
  <si>
    <t>1ST</t>
  </si>
  <si>
    <t>2ND</t>
  </si>
  <si>
    <r>
      <rPr>
        <b/>
        <sz val="10"/>
        <color theme="1"/>
        <rFont val="Arial"/>
        <charset val="134"/>
      </rPr>
      <t>3</t>
    </r>
    <r>
      <rPr>
        <b/>
        <vertAlign val="superscript"/>
        <sz val="10"/>
        <color theme="1"/>
        <rFont val="Arial"/>
        <charset val="134"/>
      </rPr>
      <t>RD</t>
    </r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</si>
  <si>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</si>
  <si>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</si>
  <si>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</si>
  <si>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</si>
  <si>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</si>
  <si>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</si>
  <si>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</si>
  <si>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</si>
  <si>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</si>
  <si>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</si>
  <si>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(A). RECEIPT ( INFLOWS)</t>
  </si>
  <si>
    <t>Owners contribution</t>
  </si>
  <si>
    <t>Loan</t>
  </si>
  <si>
    <t>Total sales</t>
  </si>
  <si>
    <t>TOTAL INFLOWS</t>
  </si>
  <si>
    <t>(B) PAYMENTS (OUTFLOWS)</t>
  </si>
  <si>
    <t>Other capital expenditure</t>
  </si>
  <si>
    <t>Total cost of sale</t>
  </si>
  <si>
    <t>Total administrative expenses</t>
  </si>
  <si>
    <t>Repayment of loan</t>
  </si>
  <si>
    <t>TOTAL OUTFLOWS</t>
  </si>
  <si>
    <t>SUMMARY</t>
  </si>
  <si>
    <t>(A – B ) NET CASHFLOW</t>
  </si>
  <si>
    <t>Opening bal. (Cash &amp; Bank)</t>
  </si>
  <si>
    <t>Closing bal. (Cash &amp; Bank)</t>
  </si>
  <si>
    <t>Financial Requirement</t>
  </si>
  <si>
    <t>S/NO.</t>
  </si>
  <si>
    <t>ITEM</t>
  </si>
  <si>
    <t>DETAIL</t>
  </si>
  <si>
    <t>REMARK</t>
  </si>
  <si>
    <t>Industrial sewing machine</t>
  </si>
  <si>
    <t>2 x N450,000</t>
  </si>
  <si>
    <t>1 x Done</t>
  </si>
  <si>
    <t>Manual sewing machine</t>
  </si>
  <si>
    <t>Done</t>
  </si>
  <si>
    <t>Table top weaving machine</t>
  </si>
  <si>
    <t>Table top sewing machine</t>
  </si>
  <si>
    <t>Sewing tools</t>
  </si>
  <si>
    <t>Cutting table/ironing table</t>
  </si>
  <si>
    <t>Fabrics</t>
  </si>
  <si>
    <t>Industrial Weaving machine</t>
  </si>
  <si>
    <t>Shop setup</t>
  </si>
  <si>
    <t>Branding and marketing</t>
  </si>
  <si>
    <t>Heat press stoning machine</t>
  </si>
  <si>
    <t>Pinnable mannequin</t>
  </si>
  <si>
    <t>2 x N250,000</t>
  </si>
  <si>
    <t>Full body plastic mannequin</t>
  </si>
  <si>
    <t>5 x N50,000</t>
  </si>
  <si>
    <t>Chairs</t>
  </si>
  <si>
    <t>7 x N18,000</t>
  </si>
  <si>
    <t>3 x Done</t>
  </si>
  <si>
    <t>Staff salaries</t>
  </si>
  <si>
    <t>6 months</t>
  </si>
  <si>
    <t>Miscellaineous expenses</t>
  </si>
  <si>
    <t>Generator</t>
  </si>
  <si>
    <t>Loan required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</si>
</sst>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</numFmts>
  <fonts count="36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u/>
      <sz val="14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1"/>
      <name val="Arial"/>
      <charset val="134"/>
    </font>
    <font>
      <b/>
      <u/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76">
    <xf numFmtId="0" fontId="0" fillId="0" borderId="0" xfId="0"/>
    <xf numFmtId="177" fontId="0" fillId="0" borderId="0" xfId="1" applyNumberFormat="1" applyFont="1"/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3" fillId="0" borderId="2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177" fontId="4" fillId="0" borderId="4" xfId="1" applyNumberFormat="1" applyFont="1" applyBorder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77" fontId="3" fillId="0" borderId="4" xfId="1" applyNumberFormat="1" applyFont="1" applyBorder="1" applyAlignment="1">
      <alignment vertical="center"/>
    </xf>
    <xf numFmtId="0" fontId="5" fillId="0" borderId="0" xfId="0" applyFont="1"/>
    <xf numFmtId="177" fontId="5" fillId="0" borderId="0" xfId="1" applyNumberFormat="1" applyFont="1"/>
    <xf numFmtId="0" fontId="3" fillId="0" borderId="5" xfId="0" applyFont="1" applyBorder="1" applyAlignment="1">
      <alignment vertical="center"/>
    </xf>
    <xf numFmtId="177" fontId="3" fillId="0" borderId="5" xfId="1" applyNumberFormat="1" applyFont="1" applyBorder="1" applyAlignment="1">
      <alignment vertical="center"/>
    </xf>
    <xf numFmtId="3" fontId="0" fillId="0" borderId="0" xfId="0" applyNumberFormat="1"/>
    <xf numFmtId="0" fontId="6" fillId="0" borderId="0" xfId="0" applyFont="1"/>
    <xf numFmtId="0" fontId="5" fillId="0" borderId="0" xfId="0" applyFont="1" applyAlignment="1">
      <alignment vertical="center"/>
    </xf>
    <xf numFmtId="3" fontId="5" fillId="0" borderId="0" xfId="0" applyNumberFormat="1" applyFont="1"/>
    <xf numFmtId="3" fontId="7" fillId="0" borderId="0" xfId="0" applyNumberFormat="1" applyFont="1" applyFill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2" borderId="6" xfId="0" applyFont="1" applyFill="1" applyBorder="1" applyAlignment="1">
      <alignment vertical="center"/>
    </xf>
    <xf numFmtId="3" fontId="9" fillId="2" borderId="6" xfId="0" applyNumberFormat="1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3" fontId="9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3" fontId="11" fillId="0" borderId="6" xfId="0" applyNumberFormat="1" applyFont="1" applyBorder="1" applyAlignment="1">
      <alignment vertical="center"/>
    </xf>
    <xf numFmtId="3" fontId="10" fillId="0" borderId="6" xfId="0" applyNumberFormat="1" applyFont="1" applyBorder="1" applyAlignment="1">
      <alignment vertical="center"/>
    </xf>
    <xf numFmtId="3" fontId="4" fillId="0" borderId="6" xfId="0" applyNumberFormat="1" applyFont="1" applyBorder="1" applyAlignment="1">
      <alignment vertical="center"/>
    </xf>
    <xf numFmtId="3" fontId="9" fillId="2" borderId="6" xfId="0" applyNumberFormat="1" applyFont="1" applyFill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3" fontId="10" fillId="2" borderId="6" xfId="0" applyNumberFormat="1" applyFont="1" applyFill="1" applyBorder="1" applyAlignment="1">
      <alignment horizontal="right" vertical="center"/>
    </xf>
    <xf numFmtId="3" fontId="10" fillId="2" borderId="6" xfId="0" applyNumberFormat="1" applyFont="1" applyFill="1" applyBorder="1" applyAlignment="1">
      <alignment vertical="center"/>
    </xf>
    <xf numFmtId="3" fontId="5" fillId="0" borderId="0" xfId="0" applyNumberFormat="1" applyFont="1" applyAlignment="1">
      <alignment vertical="center"/>
    </xf>
    <xf numFmtId="3" fontId="6" fillId="0" borderId="0" xfId="0" applyNumberFormat="1" applyFont="1"/>
    <xf numFmtId="177" fontId="3" fillId="0" borderId="6" xfId="1" applyNumberFormat="1" applyFont="1" applyBorder="1" applyAlignment="1">
      <alignment vertical="center"/>
    </xf>
    <xf numFmtId="177" fontId="3" fillId="2" borderId="6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Fill="1" applyAlignment="1"/>
    <xf numFmtId="0" fontId="14" fillId="0" borderId="0" xfId="0" applyFont="1"/>
    <xf numFmtId="0" fontId="11" fillId="0" borderId="0" xfId="0" applyFont="1" applyAlignment="1">
      <alignment vertical="center"/>
    </xf>
    <xf numFmtId="0" fontId="10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177" fontId="4" fillId="0" borderId="6" xfId="1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77" fontId="4" fillId="0" borderId="6" xfId="1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176" fontId="4" fillId="0" borderId="6" xfId="1" applyNumberFormat="1" applyFont="1" applyBorder="1" applyAlignment="1">
      <alignment vertical="center"/>
    </xf>
    <xf numFmtId="176" fontId="4" fillId="0" borderId="6" xfId="1" applyFont="1" applyBorder="1" applyAlignment="1">
      <alignment vertical="center"/>
    </xf>
    <xf numFmtId="0" fontId="10" fillId="0" borderId="0" xfId="0" applyFont="1" applyAlignment="1">
      <alignment vertical="center"/>
    </xf>
    <xf numFmtId="3" fontId="10" fillId="0" borderId="0" xfId="0" applyNumberFormat="1" applyFont="1"/>
    <xf numFmtId="0" fontId="15" fillId="0" borderId="0" xfId="0" applyFont="1"/>
    <xf numFmtId="0" fontId="9" fillId="0" borderId="0" xfId="0" applyFont="1"/>
    <xf numFmtId="0" fontId="9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6" xfId="0" applyFont="1" applyBorder="1"/>
    <xf numFmtId="3" fontId="9" fillId="0" borderId="6" xfId="0" applyNumberFormat="1" applyFont="1" applyBorder="1"/>
    <xf numFmtId="3" fontId="9" fillId="0" borderId="0" xfId="0" applyNumberFormat="1" applyFont="1"/>
    <xf numFmtId="3" fontId="12" fillId="0" borderId="0" xfId="0" applyNumberFormat="1" applyFont="1"/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horizontal="center"/>
    </xf>
    <xf numFmtId="3" fontId="4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45"/>
  <sheetViews>
    <sheetView tabSelected="1" zoomScale="85" zoomScaleNormal="85" topLeftCell="A5" workbookViewId="0">
      <selection activeCell="I2" sqref="I2"/>
    </sheetView>
  </sheetViews>
  <sheetFormatPr defaultColWidth="9" defaultRowHeight="14.4"/>
  <cols>
    <col min="1" max="1" width="4.81481481481481" customWidth="1"/>
    <col min="2" max="2" width="41.2222222222222" customWidth="1"/>
    <col min="3" max="3" width="11.3703703703704" customWidth="1"/>
    <col min="4" max="4" width="11.2407407407407" customWidth="1"/>
    <col min="5" max="5" width="11.3333333333333" customWidth="1"/>
    <col min="6" max="6" width="11.7685185185185" customWidth="1"/>
    <col min="7" max="7" width="10.5833333333333" customWidth="1"/>
    <col min="8" max="8" width="11.4907407407407" customWidth="1"/>
    <col min="9" max="9" width="10.4537037037037" customWidth="1"/>
    <col min="10" max="10" width="11.3703703703704" customWidth="1"/>
    <col min="11" max="11" width="11.2407407407407" customWidth="1"/>
    <col min="12" max="12" width="12.6759259259259" customWidth="1"/>
    <col min="13" max="14" width="11.5" customWidth="1"/>
    <col min="15" max="15" width="13.1944444444444" style="46" customWidth="1"/>
  </cols>
  <sheetData>
    <row r="2" ht="21" spans="3:9">
      <c r="C2" s="47"/>
      <c r="D2" s="47"/>
      <c r="E2" s="47"/>
      <c r="F2" s="47"/>
      <c r="G2" s="47"/>
      <c r="H2" s="47"/>
      <c r="I2" s="47"/>
    </row>
    <row r="3" spans="2:17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63"/>
      <c r="P3" s="48"/>
      <c r="Q3" s="71"/>
    </row>
    <row r="4" spans="2:17">
      <c r="B4" s="49" t="s">
        <v>0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64"/>
      <c r="P4" s="16"/>
      <c r="Q4" s="72"/>
    </row>
    <row r="5" s="45" customFormat="1" ht="26.25" customHeight="1" spans="2:17">
      <c r="B5" s="51"/>
      <c r="C5" s="52" t="s">
        <v>1</v>
      </c>
      <c r="D5" s="52" t="s">
        <v>2</v>
      </c>
      <c r="E5" s="52" t="s">
        <v>3</v>
      </c>
      <c r="F5" s="52" t="s">
        <v>4</v>
      </c>
      <c r="G5" s="52" t="s">
        <v>5</v>
      </c>
      <c r="H5" s="52" t="s">
        <v>6</v>
      </c>
      <c r="I5" s="52" t="s">
        <v>7</v>
      </c>
      <c r="J5" s="52" t="s">
        <v>8</v>
      </c>
      <c r="K5" s="52" t="s">
        <v>9</v>
      </c>
      <c r="L5" s="52" t="s">
        <v>10</v>
      </c>
      <c r="M5" s="52" t="s">
        <v>11</v>
      </c>
      <c r="N5" s="52" t="s">
        <v>12</v>
      </c>
      <c r="O5" s="65" t="s">
        <v>13</v>
      </c>
      <c r="P5" s="66"/>
      <c r="Q5" s="73"/>
    </row>
    <row r="6" spans="2:17">
      <c r="B6" s="53" t="s">
        <v>14</v>
      </c>
      <c r="C6" s="51" t="s">
        <v>15</v>
      </c>
      <c r="D6" s="51" t="s">
        <v>15</v>
      </c>
      <c r="E6" s="51" t="s">
        <v>15</v>
      </c>
      <c r="F6" s="51" t="s">
        <v>15</v>
      </c>
      <c r="G6" s="51" t="s">
        <v>15</v>
      </c>
      <c r="H6" s="51" t="s">
        <v>15</v>
      </c>
      <c r="I6" s="51" t="s">
        <v>15</v>
      </c>
      <c r="J6" s="51" t="s">
        <v>15</v>
      </c>
      <c r="K6" s="51" t="s">
        <v>15</v>
      </c>
      <c r="L6" s="51" t="s">
        <v>15</v>
      </c>
      <c r="M6" s="51" t="s">
        <v>15</v>
      </c>
      <c r="N6" s="51" t="s">
        <v>15</v>
      </c>
      <c r="O6" s="67"/>
      <c r="P6" s="16"/>
      <c r="Q6" s="72"/>
    </row>
    <row r="7" spans="2:17">
      <c r="B7" s="53" t="s">
        <v>16</v>
      </c>
      <c r="C7" s="54">
        <v>300000</v>
      </c>
      <c r="D7" s="54">
        <v>300000</v>
      </c>
      <c r="E7" s="54">
        <v>300000</v>
      </c>
      <c r="F7" s="54">
        <v>300000</v>
      </c>
      <c r="G7" s="54">
        <v>300000</v>
      </c>
      <c r="H7" s="54">
        <v>300000</v>
      </c>
      <c r="I7" s="54">
        <v>450000</v>
      </c>
      <c r="J7" s="54">
        <v>450000</v>
      </c>
      <c r="K7" s="54">
        <v>450000</v>
      </c>
      <c r="L7" s="54">
        <v>600000</v>
      </c>
      <c r="M7" s="54">
        <v>600000</v>
      </c>
      <c r="N7" s="54">
        <v>600000</v>
      </c>
      <c r="O7" s="68">
        <f>SUM(C7:N7)</f>
        <v>4950000</v>
      </c>
      <c r="P7" s="16"/>
      <c r="Q7" s="74"/>
    </row>
    <row r="8" spans="2:17">
      <c r="B8" s="55" t="s">
        <v>17</v>
      </c>
      <c r="C8" s="56">
        <v>30000</v>
      </c>
      <c r="D8" s="56">
        <v>30000</v>
      </c>
      <c r="E8" s="56">
        <v>30000</v>
      </c>
      <c r="F8" s="56">
        <v>30000</v>
      </c>
      <c r="G8" s="56">
        <v>30000</v>
      </c>
      <c r="H8" s="56">
        <v>30000</v>
      </c>
      <c r="I8" s="56">
        <v>72000</v>
      </c>
      <c r="J8" s="56">
        <v>72000</v>
      </c>
      <c r="K8" s="56">
        <v>72000</v>
      </c>
      <c r="L8" s="56">
        <v>90000</v>
      </c>
      <c r="M8" s="56">
        <v>90000</v>
      </c>
      <c r="N8" s="56">
        <v>90000</v>
      </c>
      <c r="O8" s="68">
        <f t="shared" ref="O8:O10" si="0">SUM(C8:N8)</f>
        <v>666000</v>
      </c>
      <c r="P8" s="16"/>
      <c r="Q8" s="72"/>
    </row>
    <row r="9" spans="2:17"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68">
        <f t="shared" si="0"/>
        <v>0</v>
      </c>
      <c r="P9" s="16"/>
      <c r="Q9" s="72"/>
    </row>
    <row r="10" spans="2:17"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68">
        <f t="shared" si="0"/>
        <v>0</v>
      </c>
      <c r="P10" s="16"/>
      <c r="Q10" s="72"/>
    </row>
    <row r="11" s="46" customFormat="1" spans="2:17">
      <c r="B11" s="53" t="s">
        <v>18</v>
      </c>
      <c r="C11" s="57">
        <f>SUM(C7:C10)</f>
        <v>330000</v>
      </c>
      <c r="D11" s="57">
        <f t="shared" ref="D11:O11" si="1">SUM(D7:D10)</f>
        <v>330000</v>
      </c>
      <c r="E11" s="57">
        <f t="shared" si="1"/>
        <v>330000</v>
      </c>
      <c r="F11" s="57">
        <f t="shared" si="1"/>
        <v>330000</v>
      </c>
      <c r="G11" s="57">
        <f t="shared" si="1"/>
        <v>330000</v>
      </c>
      <c r="H11" s="57">
        <f t="shared" si="1"/>
        <v>330000</v>
      </c>
      <c r="I11" s="57">
        <f t="shared" si="1"/>
        <v>522000</v>
      </c>
      <c r="J11" s="57">
        <f t="shared" si="1"/>
        <v>522000</v>
      </c>
      <c r="K11" s="57">
        <f t="shared" si="1"/>
        <v>522000</v>
      </c>
      <c r="L11" s="57">
        <f t="shared" si="1"/>
        <v>690000</v>
      </c>
      <c r="M11" s="57">
        <f t="shared" si="1"/>
        <v>690000</v>
      </c>
      <c r="N11" s="57">
        <f t="shared" si="1"/>
        <v>690000</v>
      </c>
      <c r="O11" s="57">
        <f t="shared" si="1"/>
        <v>5616000</v>
      </c>
      <c r="P11" s="21"/>
      <c r="Q11" s="75"/>
    </row>
    <row r="12" spans="2:17">
      <c r="B12" s="5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68"/>
      <c r="P12" s="16"/>
      <c r="Q12" s="72"/>
    </row>
    <row r="13" spans="2:17">
      <c r="B13" s="53" t="s">
        <v>19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68"/>
      <c r="P13" s="16"/>
      <c r="Q13" s="16"/>
    </row>
    <row r="14" spans="2:17">
      <c r="B14" s="5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68">
        <f t="shared" ref="O14:O18" si="2">SUM(C14:N14)</f>
        <v>0</v>
      </c>
      <c r="P14" s="16"/>
      <c r="Q14" s="16"/>
    </row>
    <row r="15" spans="2:17">
      <c r="B15" s="58" t="s">
        <v>20</v>
      </c>
      <c r="C15" s="35">
        <v>100000</v>
      </c>
      <c r="D15" s="35">
        <v>100000</v>
      </c>
      <c r="E15" s="35">
        <v>100000</v>
      </c>
      <c r="F15" s="35">
        <v>100000</v>
      </c>
      <c r="G15" s="35">
        <v>100000</v>
      </c>
      <c r="H15" s="35">
        <v>100000</v>
      </c>
      <c r="I15" s="35">
        <v>150000</v>
      </c>
      <c r="J15" s="35">
        <v>150000</v>
      </c>
      <c r="K15" s="35">
        <v>150000</v>
      </c>
      <c r="L15" s="35">
        <v>200000</v>
      </c>
      <c r="M15" s="35">
        <v>200000</v>
      </c>
      <c r="N15" s="35">
        <v>200000</v>
      </c>
      <c r="O15" s="68">
        <f t="shared" si="2"/>
        <v>1650000</v>
      </c>
      <c r="P15" s="16"/>
      <c r="Q15" s="16"/>
    </row>
    <row r="16" spans="2:17">
      <c r="B16" s="53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68">
        <f t="shared" si="2"/>
        <v>0</v>
      </c>
      <c r="P16" s="16"/>
      <c r="Q16" s="16"/>
    </row>
    <row r="17" spans="2:17">
      <c r="B17" s="53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68">
        <f t="shared" si="2"/>
        <v>0</v>
      </c>
      <c r="P17" s="16"/>
      <c r="Q17" s="16"/>
    </row>
    <row r="18" s="46" customFormat="1" spans="2:17">
      <c r="B18" s="53" t="s">
        <v>21</v>
      </c>
      <c r="C18" s="57">
        <f>SUM(C14:C17)</f>
        <v>100000</v>
      </c>
      <c r="D18" s="57">
        <f t="shared" ref="D18:N18" si="3">SUM(D14:D17)</f>
        <v>100000</v>
      </c>
      <c r="E18" s="57">
        <f t="shared" si="3"/>
        <v>100000</v>
      </c>
      <c r="F18" s="57">
        <f t="shared" si="3"/>
        <v>100000</v>
      </c>
      <c r="G18" s="57">
        <f t="shared" si="3"/>
        <v>100000</v>
      </c>
      <c r="H18" s="57">
        <f t="shared" si="3"/>
        <v>100000</v>
      </c>
      <c r="I18" s="57">
        <f t="shared" si="3"/>
        <v>150000</v>
      </c>
      <c r="J18" s="57">
        <f t="shared" si="3"/>
        <v>150000</v>
      </c>
      <c r="K18" s="57">
        <f t="shared" si="3"/>
        <v>150000</v>
      </c>
      <c r="L18" s="57">
        <f t="shared" si="3"/>
        <v>200000</v>
      </c>
      <c r="M18" s="57">
        <f t="shared" si="3"/>
        <v>200000</v>
      </c>
      <c r="N18" s="57">
        <f t="shared" si="3"/>
        <v>200000</v>
      </c>
      <c r="O18" s="68">
        <f t="shared" si="2"/>
        <v>1650000</v>
      </c>
      <c r="P18" s="21"/>
      <c r="Q18" s="21"/>
    </row>
    <row r="19" spans="2:17">
      <c r="B19" s="5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68"/>
      <c r="P19" s="16"/>
      <c r="Q19" s="16"/>
    </row>
    <row r="20" spans="2:17">
      <c r="B20" s="53" t="s">
        <v>22</v>
      </c>
      <c r="C20" s="57">
        <f t="shared" ref="C20:N20" si="4">C11-C18</f>
        <v>230000</v>
      </c>
      <c r="D20" s="57">
        <f t="shared" si="4"/>
        <v>230000</v>
      </c>
      <c r="E20" s="57">
        <f t="shared" si="4"/>
        <v>230000</v>
      </c>
      <c r="F20" s="57">
        <f t="shared" si="4"/>
        <v>230000</v>
      </c>
      <c r="G20" s="57">
        <f t="shared" si="4"/>
        <v>230000</v>
      </c>
      <c r="H20" s="57">
        <f t="shared" si="4"/>
        <v>230000</v>
      </c>
      <c r="I20" s="57">
        <f t="shared" si="4"/>
        <v>372000</v>
      </c>
      <c r="J20" s="57">
        <f t="shared" si="4"/>
        <v>372000</v>
      </c>
      <c r="K20" s="57">
        <f t="shared" si="4"/>
        <v>372000</v>
      </c>
      <c r="L20" s="57">
        <f t="shared" si="4"/>
        <v>490000</v>
      </c>
      <c r="M20" s="57">
        <f t="shared" si="4"/>
        <v>490000</v>
      </c>
      <c r="N20" s="57">
        <f t="shared" si="4"/>
        <v>490000</v>
      </c>
      <c r="O20" s="68">
        <f t="shared" ref="O20:O32" si="5">SUM(C20:N20)</f>
        <v>3966000</v>
      </c>
      <c r="P20" s="16"/>
      <c r="Q20" s="16"/>
    </row>
    <row r="21" spans="2:17">
      <c r="B21" s="5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68"/>
      <c r="P21" s="16"/>
      <c r="Q21" s="16"/>
    </row>
    <row r="22" spans="2:17">
      <c r="B22" s="53" t="s">
        <v>23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68"/>
      <c r="P22" s="16"/>
      <c r="Q22" s="16"/>
    </row>
    <row r="23" spans="2:17">
      <c r="B23" s="55" t="s">
        <v>24</v>
      </c>
      <c r="C23" s="35">
        <v>120000</v>
      </c>
      <c r="D23" s="35">
        <v>120000</v>
      </c>
      <c r="E23" s="35">
        <v>120000</v>
      </c>
      <c r="F23" s="35">
        <v>120000</v>
      </c>
      <c r="G23" s="35">
        <v>120000</v>
      </c>
      <c r="H23" s="35">
        <v>120000</v>
      </c>
      <c r="I23" s="35">
        <v>120000</v>
      </c>
      <c r="J23" s="35">
        <v>120000</v>
      </c>
      <c r="K23" s="35">
        <v>120000</v>
      </c>
      <c r="L23" s="35">
        <v>120000</v>
      </c>
      <c r="M23" s="35">
        <v>120000</v>
      </c>
      <c r="N23" s="35">
        <v>120000</v>
      </c>
      <c r="O23" s="68">
        <f t="shared" si="5"/>
        <v>1440000</v>
      </c>
      <c r="P23" s="16"/>
      <c r="Q23" s="16"/>
    </row>
    <row r="24" spans="2:17">
      <c r="B24" s="55" t="s">
        <v>25</v>
      </c>
      <c r="C24" s="59">
        <v>50000</v>
      </c>
      <c r="D24" s="59">
        <v>50000</v>
      </c>
      <c r="E24" s="59">
        <v>50000</v>
      </c>
      <c r="F24" s="59">
        <v>50000</v>
      </c>
      <c r="G24" s="59">
        <v>50000</v>
      </c>
      <c r="H24" s="59">
        <v>50000</v>
      </c>
      <c r="I24" s="59">
        <v>50000</v>
      </c>
      <c r="J24" s="59">
        <v>50000</v>
      </c>
      <c r="K24" s="59">
        <v>50000</v>
      </c>
      <c r="L24" s="59">
        <v>50000</v>
      </c>
      <c r="M24" s="59">
        <v>50000</v>
      </c>
      <c r="N24" s="59">
        <v>50000</v>
      </c>
      <c r="O24" s="68">
        <f t="shared" si="5"/>
        <v>600000</v>
      </c>
      <c r="P24" s="16"/>
      <c r="Q24" s="16"/>
    </row>
    <row r="25" spans="2:17">
      <c r="B25" s="55" t="s">
        <v>26</v>
      </c>
      <c r="C25" s="35">
        <v>20000</v>
      </c>
      <c r="D25" s="35">
        <v>20000</v>
      </c>
      <c r="E25" s="35">
        <v>20000</v>
      </c>
      <c r="F25" s="35">
        <v>20000</v>
      </c>
      <c r="G25" s="35">
        <v>20000</v>
      </c>
      <c r="H25" s="35">
        <v>20000</v>
      </c>
      <c r="I25" s="35">
        <v>30000</v>
      </c>
      <c r="J25" s="35">
        <v>30000</v>
      </c>
      <c r="K25" s="35">
        <v>30000</v>
      </c>
      <c r="L25" s="35">
        <v>30000</v>
      </c>
      <c r="M25" s="35">
        <v>30000</v>
      </c>
      <c r="N25" s="35">
        <v>30000</v>
      </c>
      <c r="O25" s="68">
        <f t="shared" si="5"/>
        <v>300000</v>
      </c>
      <c r="P25" s="16"/>
      <c r="Q25" s="16"/>
    </row>
    <row r="26" spans="2:17">
      <c r="B26" s="5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68">
        <f t="shared" si="5"/>
        <v>0</v>
      </c>
      <c r="P26" s="16"/>
      <c r="Q26" s="16"/>
    </row>
    <row r="27" spans="2:17">
      <c r="B27" s="5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68">
        <f t="shared" si="5"/>
        <v>0</v>
      </c>
      <c r="P27" s="16"/>
      <c r="Q27" s="16"/>
    </row>
    <row r="28" spans="2:17">
      <c r="B28" s="5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68">
        <f t="shared" si="5"/>
        <v>0</v>
      </c>
      <c r="P28" s="16"/>
      <c r="Q28" s="16"/>
    </row>
    <row r="29" spans="2:17">
      <c r="B29" s="55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8">
        <f t="shared" si="5"/>
        <v>0</v>
      </c>
      <c r="P29" s="16"/>
      <c r="Q29" s="16"/>
    </row>
    <row r="30" s="46" customFormat="1" spans="2:17">
      <c r="B30" s="53" t="s">
        <v>27</v>
      </c>
      <c r="C30" s="57">
        <f>SUM(C23:C29)</f>
        <v>190000</v>
      </c>
      <c r="D30" s="57">
        <f t="shared" ref="D30:O30" si="6">SUM(D23:D29)</f>
        <v>190000</v>
      </c>
      <c r="E30" s="57">
        <f t="shared" si="6"/>
        <v>190000</v>
      </c>
      <c r="F30" s="57">
        <f t="shared" si="6"/>
        <v>190000</v>
      </c>
      <c r="G30" s="57">
        <f t="shared" si="6"/>
        <v>190000</v>
      </c>
      <c r="H30" s="57">
        <f t="shared" si="6"/>
        <v>190000</v>
      </c>
      <c r="I30" s="57">
        <f t="shared" si="6"/>
        <v>200000</v>
      </c>
      <c r="J30" s="57">
        <f t="shared" si="6"/>
        <v>200000</v>
      </c>
      <c r="K30" s="57">
        <f t="shared" si="6"/>
        <v>200000</v>
      </c>
      <c r="L30" s="57">
        <f t="shared" si="6"/>
        <v>200000</v>
      </c>
      <c r="M30" s="57">
        <f t="shared" si="6"/>
        <v>200000</v>
      </c>
      <c r="N30" s="57">
        <f t="shared" si="6"/>
        <v>200000</v>
      </c>
      <c r="O30" s="57">
        <f t="shared" si="6"/>
        <v>2340000</v>
      </c>
      <c r="P30" s="21"/>
      <c r="Q30" s="42"/>
    </row>
    <row r="31" s="46" customFormat="1" spans="2:17">
      <c r="B31" s="53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68"/>
      <c r="P31" s="21"/>
      <c r="Q31" s="42"/>
    </row>
    <row r="32" s="46" customFormat="1" spans="2:17">
      <c r="B32" s="53" t="s">
        <v>28</v>
      </c>
      <c r="C32" s="57">
        <f>C20-C30</f>
        <v>40000</v>
      </c>
      <c r="D32" s="57">
        <f t="shared" ref="D32:N32" si="7">D20-D30</f>
        <v>40000</v>
      </c>
      <c r="E32" s="57">
        <f t="shared" si="7"/>
        <v>40000</v>
      </c>
      <c r="F32" s="57">
        <f t="shared" si="7"/>
        <v>40000</v>
      </c>
      <c r="G32" s="57">
        <f t="shared" si="7"/>
        <v>40000</v>
      </c>
      <c r="H32" s="57">
        <f t="shared" si="7"/>
        <v>40000</v>
      </c>
      <c r="I32" s="57">
        <f t="shared" si="7"/>
        <v>172000</v>
      </c>
      <c r="J32" s="57">
        <f t="shared" si="7"/>
        <v>172000</v>
      </c>
      <c r="K32" s="57">
        <f t="shared" si="7"/>
        <v>172000</v>
      </c>
      <c r="L32" s="57">
        <f t="shared" si="7"/>
        <v>290000</v>
      </c>
      <c r="M32" s="57">
        <f t="shared" si="7"/>
        <v>290000</v>
      </c>
      <c r="N32" s="57">
        <f t="shared" si="7"/>
        <v>290000</v>
      </c>
      <c r="O32" s="68">
        <f t="shared" si="5"/>
        <v>1626000</v>
      </c>
      <c r="P32" s="21"/>
      <c r="Q32" s="42"/>
    </row>
    <row r="33" spans="2:17">
      <c r="B33" s="61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9"/>
      <c r="P33" s="16"/>
      <c r="Q33" s="16"/>
    </row>
    <row r="34" spans="2:17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9"/>
      <c r="P34" s="16"/>
      <c r="Q34" s="16"/>
    </row>
    <row r="35" spans="2:17"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42"/>
      <c r="P35" s="16"/>
      <c r="Q35" s="16"/>
    </row>
    <row r="36" spans="2:17"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42"/>
      <c r="P36" s="16"/>
      <c r="Q36" s="16"/>
    </row>
    <row r="37" spans="2:17"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42"/>
      <c r="P37" s="16"/>
      <c r="Q37" s="16"/>
    </row>
    <row r="38" spans="2:17">
      <c r="B38" s="16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42"/>
      <c r="P38" s="16"/>
      <c r="Q38" s="16"/>
    </row>
    <row r="39" spans="2:17">
      <c r="B39" s="16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42"/>
      <c r="P39" s="16"/>
      <c r="Q39" s="16"/>
    </row>
    <row r="40" spans="2:17">
      <c r="B40" s="16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42"/>
      <c r="P40" s="16"/>
      <c r="Q40" s="16"/>
    </row>
    <row r="41" spans="2:17">
      <c r="B41" s="16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42"/>
      <c r="P41" s="16"/>
      <c r="Q41" s="16"/>
    </row>
    <row r="42" spans="2:17">
      <c r="B42" s="16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42"/>
      <c r="P42" s="16"/>
      <c r="Q42" s="16"/>
    </row>
    <row r="43" spans="2:17">
      <c r="B43" s="16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42"/>
      <c r="P43" s="16"/>
      <c r="Q43" s="16"/>
    </row>
    <row r="44" spans="3:15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70"/>
    </row>
    <row r="45" spans="3:15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70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07"/>
  <sheetViews>
    <sheetView zoomScale="70" zoomScaleNormal="70" workbookViewId="0">
      <selection activeCell="C32" sqref="C32"/>
    </sheetView>
  </sheetViews>
  <sheetFormatPr defaultColWidth="19.2222222222222" defaultRowHeight="13.8"/>
  <cols>
    <col min="1" max="14" width="19.2222222222222" style="16" customWidth="1"/>
    <col min="15" max="15" width="19.2222222222222" style="21" customWidth="1"/>
    <col min="16" max="16384" width="19.2222222222222" style="16" customWidth="1"/>
  </cols>
  <sheetData>
    <row r="1" ht="22.8" spans="2:15">
      <c r="B1" s="22"/>
      <c r="C1" s="23"/>
      <c r="D1" s="23"/>
      <c r="E1" s="24"/>
      <c r="F1" s="24"/>
      <c r="G1" s="24"/>
      <c r="H1" s="24"/>
      <c r="I1" s="24"/>
      <c r="J1" s="23"/>
      <c r="K1" s="23"/>
      <c r="L1" s="23"/>
      <c r="M1" s="23"/>
      <c r="N1" s="23"/>
      <c r="O1" s="42"/>
    </row>
    <row r="2" spans="2:15">
      <c r="B2" s="25" t="s">
        <v>29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42"/>
    </row>
    <row r="3" spans="2:15">
      <c r="B3" s="26" t="s">
        <v>30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42"/>
    </row>
    <row r="4" spans="3:15"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42"/>
    </row>
    <row r="5" spans="2:15">
      <c r="B5" s="27" t="s">
        <v>31</v>
      </c>
      <c r="C5" s="28" t="s">
        <v>32</v>
      </c>
      <c r="D5" s="28" t="s">
        <v>33</v>
      </c>
      <c r="E5" s="28" t="s">
        <v>34</v>
      </c>
      <c r="F5" s="28" t="s">
        <v>35</v>
      </c>
      <c r="G5" s="29" t="s">
        <v>36</v>
      </c>
      <c r="H5" s="29" t="s">
        <v>37</v>
      </c>
      <c r="I5" s="29" t="s">
        <v>38</v>
      </c>
      <c r="J5" s="29" t="s">
        <v>39</v>
      </c>
      <c r="K5" s="29" t="s">
        <v>40</v>
      </c>
      <c r="L5" s="29" t="s">
        <v>41</v>
      </c>
      <c r="M5" s="29" t="s">
        <v>42</v>
      </c>
      <c r="N5" s="29" t="s">
        <v>43</v>
      </c>
      <c r="O5" s="29" t="s">
        <v>44</v>
      </c>
    </row>
    <row r="6" spans="2:15">
      <c r="B6" s="30"/>
      <c r="C6" s="31" t="s">
        <v>15</v>
      </c>
      <c r="D6" s="31" t="s">
        <v>15</v>
      </c>
      <c r="E6" s="31" t="s">
        <v>15</v>
      </c>
      <c r="F6" s="31" t="s">
        <v>15</v>
      </c>
      <c r="G6" s="31" t="s">
        <v>15</v>
      </c>
      <c r="H6" s="31" t="s">
        <v>15</v>
      </c>
      <c r="I6" s="31" t="s">
        <v>15</v>
      </c>
      <c r="J6" s="31" t="s">
        <v>15</v>
      </c>
      <c r="K6" s="31" t="s">
        <v>15</v>
      </c>
      <c r="L6" s="31" t="s">
        <v>15</v>
      </c>
      <c r="M6" s="31" t="s">
        <v>15</v>
      </c>
      <c r="N6" s="31" t="s">
        <v>15</v>
      </c>
      <c r="O6" s="31" t="s">
        <v>15</v>
      </c>
    </row>
    <row r="7" spans="2:15">
      <c r="B7" s="32" t="s">
        <v>45</v>
      </c>
      <c r="C7" s="33"/>
      <c r="D7" s="34"/>
      <c r="E7" s="34"/>
      <c r="F7" s="34"/>
      <c r="G7" s="35"/>
      <c r="H7" s="35"/>
      <c r="I7" s="35"/>
      <c r="J7" s="35"/>
      <c r="K7" s="35"/>
      <c r="L7" s="35"/>
      <c r="M7" s="35"/>
      <c r="N7" s="35"/>
      <c r="O7" s="43">
        <f t="shared" ref="O7:O11" si="0">SUM(C7:N7)</f>
        <v>0</v>
      </c>
    </row>
    <row r="8" spans="2:15">
      <c r="B8" s="30" t="s">
        <v>46</v>
      </c>
      <c r="C8" s="34">
        <v>2674000</v>
      </c>
      <c r="D8" s="34"/>
      <c r="E8" s="34"/>
      <c r="F8" s="34"/>
      <c r="G8" s="35"/>
      <c r="H8" s="35"/>
      <c r="I8" s="35"/>
      <c r="J8" s="35"/>
      <c r="K8" s="35"/>
      <c r="L8" s="35"/>
      <c r="M8" s="35"/>
      <c r="N8" s="35"/>
      <c r="O8" s="43">
        <f t="shared" si="0"/>
        <v>2674000</v>
      </c>
    </row>
    <row r="9" spans="2:15">
      <c r="B9" s="30" t="s">
        <v>47</v>
      </c>
      <c r="C9" s="34">
        <v>3492000</v>
      </c>
      <c r="D9" s="34"/>
      <c r="E9" s="34"/>
      <c r="F9" s="34"/>
      <c r="G9" s="35"/>
      <c r="H9" s="35"/>
      <c r="I9" s="35"/>
      <c r="J9" s="35"/>
      <c r="K9" s="35"/>
      <c r="L9" s="35"/>
      <c r="M9" s="35"/>
      <c r="N9" s="35"/>
      <c r="O9" s="43">
        <f t="shared" si="0"/>
        <v>3492000</v>
      </c>
    </row>
    <row r="10" spans="2:15">
      <c r="B10" s="30" t="s">
        <v>48</v>
      </c>
      <c r="C10" s="34">
        <v>330000</v>
      </c>
      <c r="D10" s="34">
        <v>330000</v>
      </c>
      <c r="E10" s="34">
        <v>330000</v>
      </c>
      <c r="F10" s="34">
        <v>330000</v>
      </c>
      <c r="G10" s="34">
        <v>330000</v>
      </c>
      <c r="H10" s="34">
        <v>330000</v>
      </c>
      <c r="I10" s="35">
        <v>522000</v>
      </c>
      <c r="J10" s="35">
        <v>522000</v>
      </c>
      <c r="K10" s="35">
        <v>522000</v>
      </c>
      <c r="L10" s="35">
        <v>690000</v>
      </c>
      <c r="M10" s="35">
        <v>690000</v>
      </c>
      <c r="N10" s="35">
        <v>690000</v>
      </c>
      <c r="O10" s="43">
        <f t="shared" si="0"/>
        <v>5616000</v>
      </c>
    </row>
    <row r="11" spans="2:15">
      <c r="B11" s="30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43">
        <f t="shared" si="0"/>
        <v>0</v>
      </c>
    </row>
    <row r="12" spans="2:15">
      <c r="B12" s="30"/>
      <c r="C12" s="34"/>
      <c r="D12" s="34"/>
      <c r="E12" s="34"/>
      <c r="F12" s="34"/>
      <c r="G12" s="35"/>
      <c r="H12" s="35"/>
      <c r="I12" s="35"/>
      <c r="J12" s="35"/>
      <c r="K12" s="35"/>
      <c r="L12" s="35"/>
      <c r="M12" s="35"/>
      <c r="N12" s="35"/>
      <c r="O12" s="43">
        <f t="shared" ref="O12:O27" si="1">SUM(C12:N12)</f>
        <v>0</v>
      </c>
    </row>
    <row r="13" spans="2:15">
      <c r="B13" s="27" t="s">
        <v>49</v>
      </c>
      <c r="C13" s="36">
        <f>SUM(C8:C12)</f>
        <v>6496000</v>
      </c>
      <c r="D13" s="36">
        <f t="shared" ref="D13:N13" si="2">SUM(D8:D12)</f>
        <v>330000</v>
      </c>
      <c r="E13" s="36">
        <f t="shared" si="2"/>
        <v>330000</v>
      </c>
      <c r="F13" s="36">
        <f t="shared" si="2"/>
        <v>330000</v>
      </c>
      <c r="G13" s="36">
        <f t="shared" si="2"/>
        <v>330000</v>
      </c>
      <c r="H13" s="36">
        <f t="shared" si="2"/>
        <v>330000</v>
      </c>
      <c r="I13" s="36">
        <f t="shared" si="2"/>
        <v>522000</v>
      </c>
      <c r="J13" s="36">
        <f t="shared" si="2"/>
        <v>522000</v>
      </c>
      <c r="K13" s="36">
        <f t="shared" si="2"/>
        <v>522000</v>
      </c>
      <c r="L13" s="36">
        <f t="shared" si="2"/>
        <v>690000</v>
      </c>
      <c r="M13" s="36">
        <f t="shared" si="2"/>
        <v>690000</v>
      </c>
      <c r="N13" s="36">
        <f t="shared" si="2"/>
        <v>690000</v>
      </c>
      <c r="O13" s="44">
        <f t="shared" si="1"/>
        <v>11782000</v>
      </c>
    </row>
    <row r="14" spans="2:15">
      <c r="B14" s="30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43"/>
    </row>
    <row r="15" spans="2:15">
      <c r="B15" s="32" t="s">
        <v>50</v>
      </c>
      <c r="C15" s="33"/>
      <c r="D15" s="34"/>
      <c r="E15" s="34"/>
      <c r="F15" s="34"/>
      <c r="G15" s="35"/>
      <c r="H15" s="35"/>
      <c r="I15" s="35"/>
      <c r="J15" s="35"/>
      <c r="K15" s="35"/>
      <c r="L15" s="35"/>
      <c r="M15" s="35"/>
      <c r="N15" s="35"/>
      <c r="O15" s="43"/>
    </row>
    <row r="16" spans="2:15">
      <c r="B16" s="30" t="s">
        <v>25</v>
      </c>
      <c r="C16" s="34">
        <v>600000</v>
      </c>
      <c r="D16" s="34"/>
      <c r="E16" s="34"/>
      <c r="F16" s="34"/>
      <c r="G16" s="35"/>
      <c r="H16" s="35"/>
      <c r="I16" s="35"/>
      <c r="J16" s="35"/>
      <c r="K16" s="35"/>
      <c r="L16" s="35"/>
      <c r="M16" s="35"/>
      <c r="N16" s="35"/>
      <c r="O16" s="43">
        <f t="shared" si="1"/>
        <v>600000</v>
      </c>
    </row>
    <row r="17" ht="26.4" spans="2:15">
      <c r="B17" s="37" t="s">
        <v>51</v>
      </c>
      <c r="C17" s="34">
        <v>5566000</v>
      </c>
      <c r="D17" s="34"/>
      <c r="E17" s="34"/>
      <c r="F17" s="34"/>
      <c r="G17" s="34"/>
      <c r="H17" s="34"/>
      <c r="I17" s="35"/>
      <c r="J17" s="35"/>
      <c r="K17" s="35"/>
      <c r="L17" s="35"/>
      <c r="M17" s="35"/>
      <c r="N17" s="35"/>
      <c r="O17" s="43">
        <f t="shared" ref="O17:O19" si="3">SUM(C17:N17)</f>
        <v>5566000</v>
      </c>
    </row>
    <row r="18" spans="2:15">
      <c r="B18" s="30" t="s">
        <v>52</v>
      </c>
      <c r="C18" s="34">
        <v>100000</v>
      </c>
      <c r="D18" s="34">
        <v>100000</v>
      </c>
      <c r="E18" s="34">
        <v>100000</v>
      </c>
      <c r="F18" s="34">
        <v>100000</v>
      </c>
      <c r="G18" s="34">
        <v>100000</v>
      </c>
      <c r="H18" s="34">
        <v>100000</v>
      </c>
      <c r="I18" s="34">
        <v>150000</v>
      </c>
      <c r="J18" s="34">
        <v>150000</v>
      </c>
      <c r="K18" s="34">
        <v>150000</v>
      </c>
      <c r="L18" s="34">
        <v>200000</v>
      </c>
      <c r="M18" s="34">
        <v>200000</v>
      </c>
      <c r="N18" s="34">
        <v>200000</v>
      </c>
      <c r="O18" s="43">
        <f t="shared" si="3"/>
        <v>1650000</v>
      </c>
    </row>
    <row r="19" ht="26.4" spans="2:15">
      <c r="B19" s="37" t="s">
        <v>53</v>
      </c>
      <c r="C19" s="34">
        <v>20000</v>
      </c>
      <c r="D19" s="34">
        <v>20000</v>
      </c>
      <c r="E19" s="34">
        <v>20000</v>
      </c>
      <c r="F19" s="34">
        <v>20000</v>
      </c>
      <c r="G19" s="34">
        <v>20000</v>
      </c>
      <c r="H19" s="34">
        <v>20000</v>
      </c>
      <c r="I19" s="35">
        <v>30000</v>
      </c>
      <c r="J19" s="35">
        <v>30000</v>
      </c>
      <c r="K19" s="35">
        <v>30000</v>
      </c>
      <c r="L19" s="35">
        <v>30000</v>
      </c>
      <c r="M19" s="35">
        <v>30000</v>
      </c>
      <c r="N19" s="35">
        <v>30000</v>
      </c>
      <c r="O19" s="43">
        <f t="shared" si="3"/>
        <v>300000</v>
      </c>
    </row>
    <row r="20" spans="2:15">
      <c r="B20" s="30" t="s">
        <v>54</v>
      </c>
      <c r="C20" s="34"/>
      <c r="D20" s="34"/>
      <c r="E20" s="34"/>
      <c r="F20" s="34"/>
      <c r="G20" s="34"/>
      <c r="H20" s="34">
        <v>97000</v>
      </c>
      <c r="I20" s="34">
        <v>97000</v>
      </c>
      <c r="J20" s="34">
        <v>97000</v>
      </c>
      <c r="K20" s="34">
        <v>97000</v>
      </c>
      <c r="L20" s="34">
        <v>97000</v>
      </c>
      <c r="M20" s="34">
        <v>97000</v>
      </c>
      <c r="N20" s="34">
        <v>97000</v>
      </c>
      <c r="O20" s="43">
        <f t="shared" ref="O20" si="4">SUM(C20:N20)</f>
        <v>679000</v>
      </c>
    </row>
    <row r="21" spans="2:15">
      <c r="B21" s="30"/>
      <c r="C21" s="34"/>
      <c r="D21" s="34"/>
      <c r="E21" s="34"/>
      <c r="F21" s="34"/>
      <c r="G21" s="34"/>
      <c r="H21" s="34"/>
      <c r="I21" s="35"/>
      <c r="J21" s="35"/>
      <c r="K21" s="35"/>
      <c r="L21" s="35"/>
      <c r="M21" s="35"/>
      <c r="N21" s="35"/>
      <c r="O21" s="43">
        <f t="shared" si="1"/>
        <v>0</v>
      </c>
    </row>
    <row r="22" spans="2:15">
      <c r="B22" s="30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43">
        <f t="shared" si="1"/>
        <v>0</v>
      </c>
    </row>
    <row r="23" spans="2:15">
      <c r="B23" s="30"/>
      <c r="C23" s="34"/>
      <c r="D23" s="34"/>
      <c r="E23" s="34"/>
      <c r="F23" s="34"/>
      <c r="G23" s="35"/>
      <c r="H23" s="35"/>
      <c r="I23" s="35"/>
      <c r="J23" s="35"/>
      <c r="K23" s="35"/>
      <c r="L23" s="35"/>
      <c r="M23" s="35"/>
      <c r="N23" s="35"/>
      <c r="O23" s="43">
        <f t="shared" si="1"/>
        <v>0</v>
      </c>
    </row>
    <row r="24" spans="2:15">
      <c r="B24" s="27" t="s">
        <v>55</v>
      </c>
      <c r="C24" s="36">
        <f>SUM(C16:C23)</f>
        <v>6286000</v>
      </c>
      <c r="D24" s="36">
        <f t="shared" ref="D24:O24" si="5">SUM(D16:D23)</f>
        <v>120000</v>
      </c>
      <c r="E24" s="36">
        <f t="shared" si="5"/>
        <v>120000</v>
      </c>
      <c r="F24" s="36">
        <f t="shared" si="5"/>
        <v>120000</v>
      </c>
      <c r="G24" s="36">
        <f t="shared" si="5"/>
        <v>120000</v>
      </c>
      <c r="H24" s="36">
        <f t="shared" si="5"/>
        <v>217000</v>
      </c>
      <c r="I24" s="36">
        <f t="shared" si="5"/>
        <v>277000</v>
      </c>
      <c r="J24" s="36">
        <f t="shared" si="5"/>
        <v>277000</v>
      </c>
      <c r="K24" s="36">
        <f t="shared" si="5"/>
        <v>277000</v>
      </c>
      <c r="L24" s="36">
        <f t="shared" si="5"/>
        <v>327000</v>
      </c>
      <c r="M24" s="36">
        <f t="shared" si="5"/>
        <v>327000</v>
      </c>
      <c r="N24" s="36">
        <f t="shared" si="5"/>
        <v>327000</v>
      </c>
      <c r="O24" s="36">
        <f t="shared" si="5"/>
        <v>8795000</v>
      </c>
    </row>
    <row r="25" spans="2:15">
      <c r="B25" s="30"/>
      <c r="C25" s="34"/>
      <c r="D25" s="34"/>
      <c r="E25" s="34"/>
      <c r="F25" s="34"/>
      <c r="G25" s="35"/>
      <c r="H25" s="35"/>
      <c r="I25" s="35"/>
      <c r="J25" s="35"/>
      <c r="K25" s="35"/>
      <c r="L25" s="35"/>
      <c r="M25" s="35"/>
      <c r="N25" s="35"/>
      <c r="O25" s="43"/>
    </row>
    <row r="26" spans="2:15">
      <c r="B26" s="32" t="s">
        <v>56</v>
      </c>
      <c r="C26" s="33"/>
      <c r="D26" s="34"/>
      <c r="E26" s="34"/>
      <c r="F26" s="34"/>
      <c r="G26" s="35"/>
      <c r="H26" s="35"/>
      <c r="I26" s="35"/>
      <c r="J26" s="35"/>
      <c r="K26" s="35"/>
      <c r="L26" s="35"/>
      <c r="M26" s="35"/>
      <c r="N26" s="35"/>
      <c r="O26" s="43"/>
    </row>
    <row r="27" ht="26.4" spans="2:15">
      <c r="B27" s="38" t="s">
        <v>57</v>
      </c>
      <c r="C27" s="36">
        <f>C13-C24</f>
        <v>210000</v>
      </c>
      <c r="D27" s="36">
        <f t="shared" ref="D27:N27" si="6">D13-D24</f>
        <v>210000</v>
      </c>
      <c r="E27" s="36">
        <f t="shared" si="6"/>
        <v>210000</v>
      </c>
      <c r="F27" s="36">
        <f t="shared" si="6"/>
        <v>210000</v>
      </c>
      <c r="G27" s="36">
        <f t="shared" si="6"/>
        <v>210000</v>
      </c>
      <c r="H27" s="36">
        <f t="shared" si="6"/>
        <v>113000</v>
      </c>
      <c r="I27" s="36">
        <f t="shared" si="6"/>
        <v>245000</v>
      </c>
      <c r="J27" s="36">
        <f t="shared" si="6"/>
        <v>245000</v>
      </c>
      <c r="K27" s="36">
        <f t="shared" si="6"/>
        <v>245000</v>
      </c>
      <c r="L27" s="36">
        <f t="shared" si="6"/>
        <v>363000</v>
      </c>
      <c r="M27" s="36">
        <f t="shared" si="6"/>
        <v>363000</v>
      </c>
      <c r="N27" s="36">
        <f t="shared" si="6"/>
        <v>363000</v>
      </c>
      <c r="O27" s="44">
        <f t="shared" si="1"/>
        <v>2987000</v>
      </c>
    </row>
    <row r="28" ht="26.4" spans="2:15">
      <c r="B28" s="38" t="s">
        <v>58</v>
      </c>
      <c r="C28" s="39"/>
      <c r="D28" s="40">
        <f>C29</f>
        <v>210000</v>
      </c>
      <c r="E28" s="40">
        <f t="shared" ref="E28:N28" si="7">D29</f>
        <v>420000</v>
      </c>
      <c r="F28" s="40">
        <f t="shared" si="7"/>
        <v>630000</v>
      </c>
      <c r="G28" s="40">
        <f t="shared" si="7"/>
        <v>840000</v>
      </c>
      <c r="H28" s="40">
        <f t="shared" si="7"/>
        <v>1050000</v>
      </c>
      <c r="I28" s="40">
        <f t="shared" si="7"/>
        <v>1163000</v>
      </c>
      <c r="J28" s="40">
        <f t="shared" si="7"/>
        <v>1408000</v>
      </c>
      <c r="K28" s="40">
        <f t="shared" si="7"/>
        <v>1653000</v>
      </c>
      <c r="L28" s="40">
        <f t="shared" si="7"/>
        <v>1898000</v>
      </c>
      <c r="M28" s="40">
        <f t="shared" si="7"/>
        <v>2261000</v>
      </c>
      <c r="N28" s="40">
        <f t="shared" si="7"/>
        <v>2624000</v>
      </c>
      <c r="O28" s="43"/>
    </row>
    <row r="29" ht="26.4" spans="2:15">
      <c r="B29" s="38" t="s">
        <v>59</v>
      </c>
      <c r="C29" s="36">
        <f>SUM(C27:C28)</f>
        <v>210000</v>
      </c>
      <c r="D29" s="36">
        <f>SUM(D27:D28)</f>
        <v>420000</v>
      </c>
      <c r="E29" s="36">
        <f t="shared" ref="E29:N29" si="8">SUM(E27:E28)</f>
        <v>630000</v>
      </c>
      <c r="F29" s="36">
        <f t="shared" si="8"/>
        <v>840000</v>
      </c>
      <c r="G29" s="36">
        <f t="shared" si="8"/>
        <v>1050000</v>
      </c>
      <c r="H29" s="36">
        <f t="shared" si="8"/>
        <v>1163000</v>
      </c>
      <c r="I29" s="36">
        <f t="shared" si="8"/>
        <v>1408000</v>
      </c>
      <c r="J29" s="36">
        <f t="shared" si="8"/>
        <v>1653000</v>
      </c>
      <c r="K29" s="36">
        <f t="shared" si="8"/>
        <v>1898000</v>
      </c>
      <c r="L29" s="36">
        <f t="shared" si="8"/>
        <v>2261000</v>
      </c>
      <c r="M29" s="36">
        <f t="shared" si="8"/>
        <v>2624000</v>
      </c>
      <c r="N29" s="36">
        <f t="shared" si="8"/>
        <v>2987000</v>
      </c>
      <c r="O29" s="43"/>
    </row>
    <row r="30" spans="3:15">
      <c r="C30" s="23"/>
      <c r="D30" s="23"/>
      <c r="E30" s="41"/>
      <c r="F30" s="23"/>
      <c r="G30" s="23"/>
      <c r="H30" s="23"/>
      <c r="I30" s="23"/>
      <c r="J30" s="23"/>
      <c r="K30" s="23"/>
      <c r="L30" s="23"/>
      <c r="M30" s="23"/>
      <c r="N30" s="23"/>
      <c r="O30" s="42"/>
    </row>
    <row r="31" spans="3:15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42"/>
    </row>
    <row r="32" spans="3:15"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42"/>
    </row>
    <row r="33" spans="3:15"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42"/>
    </row>
    <row r="34" spans="3:15"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42"/>
    </row>
    <row r="35" spans="3:15"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42"/>
    </row>
    <row r="36" spans="3:15"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42"/>
    </row>
    <row r="37" spans="3:15"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42"/>
    </row>
    <row r="38" spans="3:15"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42"/>
    </row>
    <row r="39" spans="3:15"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42"/>
    </row>
    <row r="40" spans="3:15"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42"/>
    </row>
    <row r="41" spans="3:15"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42"/>
    </row>
    <row r="42" spans="3:15"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42"/>
    </row>
    <row r="43" spans="3:15"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42"/>
    </row>
    <row r="44" spans="3:15"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42"/>
    </row>
    <row r="45" spans="3:15"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42"/>
    </row>
    <row r="46" spans="3:15"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42"/>
    </row>
    <row r="47" spans="3:15"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42"/>
    </row>
    <row r="48" spans="3:15"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42"/>
    </row>
    <row r="49" spans="3:15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42"/>
    </row>
    <row r="50" spans="3:15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42"/>
    </row>
    <row r="51" spans="3:15"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42"/>
    </row>
    <row r="52" spans="3:15"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42"/>
    </row>
    <row r="53" spans="3:15"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42"/>
    </row>
    <row r="54" spans="3:15"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42"/>
    </row>
    <row r="55" spans="3:15"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42"/>
    </row>
    <row r="56" spans="3:15"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42"/>
    </row>
    <row r="57" spans="3:15"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42"/>
    </row>
    <row r="58" spans="3:15"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42"/>
    </row>
    <row r="59" spans="3:15"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42"/>
    </row>
    <row r="60" spans="3:15"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42"/>
    </row>
    <row r="61" spans="3:15"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42"/>
    </row>
    <row r="62" spans="3:15"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42"/>
    </row>
    <row r="63" spans="3:15"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42"/>
    </row>
    <row r="64" spans="3:15"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42"/>
    </row>
    <row r="65" spans="3:15"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42"/>
    </row>
    <row r="66" spans="3:15"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42"/>
    </row>
    <row r="67" spans="3:15"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42"/>
    </row>
    <row r="68" spans="3:15"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42"/>
    </row>
    <row r="69" spans="3:15"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42"/>
    </row>
    <row r="70" spans="3:15"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42"/>
    </row>
    <row r="71" spans="3:15"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42"/>
    </row>
    <row r="72" spans="3:15"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42"/>
    </row>
    <row r="73" spans="3:15"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42"/>
    </row>
    <row r="74" spans="3:15"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42"/>
    </row>
    <row r="75" spans="3:15"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42"/>
    </row>
    <row r="76" spans="3:15"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42"/>
    </row>
    <row r="77" spans="3:15"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42"/>
    </row>
    <row r="78" spans="3:15"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42"/>
    </row>
    <row r="79" spans="3:15"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42"/>
    </row>
    <row r="80" spans="3:15"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42"/>
    </row>
    <row r="81" spans="3:15"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42"/>
    </row>
    <row r="82" spans="3:15"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42"/>
    </row>
    <row r="83" spans="3:15"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42"/>
    </row>
    <row r="84" spans="3:15"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42"/>
    </row>
    <row r="85" spans="3:15"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42"/>
    </row>
    <row r="86" spans="3:15"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42"/>
    </row>
    <row r="87" spans="3:15"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42"/>
    </row>
    <row r="88" spans="3:15"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42"/>
    </row>
    <row r="89" spans="3:15"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42"/>
    </row>
    <row r="90" spans="3:15"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42"/>
    </row>
    <row r="91" spans="3:15"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42"/>
    </row>
    <row r="92" spans="3:15"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42"/>
    </row>
    <row r="93" spans="3:15"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42"/>
    </row>
    <row r="94" spans="3:15"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42"/>
    </row>
    <row r="95" spans="3:15"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42"/>
    </row>
    <row r="96" spans="3:15"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42"/>
    </row>
    <row r="97" spans="3:15"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42"/>
    </row>
    <row r="98" spans="3:15"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42"/>
    </row>
    <row r="99" spans="3:15"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42"/>
    </row>
    <row r="100" spans="3:15"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42"/>
    </row>
    <row r="101" spans="3:15"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42"/>
    </row>
    <row r="102" spans="3:15"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42"/>
    </row>
    <row r="103" spans="3:15"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42"/>
    </row>
    <row r="104" spans="3:15"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42"/>
    </row>
    <row r="105" spans="3:15"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42"/>
    </row>
    <row r="106" spans="3:15"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42"/>
    </row>
    <row r="107" spans="3:15"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42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8"/>
  <sheetViews>
    <sheetView topLeftCell="A6" workbookViewId="0">
      <selection activeCell="H21" sqref="H21"/>
    </sheetView>
  </sheetViews>
  <sheetFormatPr defaultColWidth="9" defaultRowHeight="14.4"/>
  <cols>
    <col min="3" max="3" width="27.2222222222222" customWidth="1"/>
    <col min="4" max="4" width="26" customWidth="1"/>
    <col min="5" max="5" width="14.4537037037037" style="1" customWidth="1"/>
    <col min="6" max="6" width="11.8148148148148" customWidth="1"/>
    <col min="9" max="9" width="9.55555555555556"/>
  </cols>
  <sheetData>
    <row r="2" ht="17.4" spans="3:5">
      <c r="C2" s="2"/>
      <c r="D2" s="2"/>
      <c r="E2" s="2"/>
    </row>
    <row r="3" ht="18" spans="2:2">
      <c r="B3" s="3" t="s">
        <v>60</v>
      </c>
    </row>
    <row r="4" ht="18.75" spans="2:2">
      <c r="B4" s="3" t="s">
        <v>60</v>
      </c>
    </row>
    <row r="5" ht="15.15" spans="2:6">
      <c r="B5" s="4" t="s">
        <v>61</v>
      </c>
      <c r="C5" s="5" t="s">
        <v>62</v>
      </c>
      <c r="D5" s="5" t="s">
        <v>63</v>
      </c>
      <c r="E5" s="6" t="s">
        <v>15</v>
      </c>
      <c r="F5" s="5" t="s">
        <v>64</v>
      </c>
    </row>
    <row r="6" ht="15.15" spans="2:6">
      <c r="B6" s="7">
        <v>1</v>
      </c>
      <c r="C6" s="8" t="s">
        <v>65</v>
      </c>
      <c r="D6" s="9" t="s">
        <v>66</v>
      </c>
      <c r="E6" s="10">
        <v>900000</v>
      </c>
      <c r="F6" s="9" t="s">
        <v>67</v>
      </c>
    </row>
    <row r="7" ht="15.15" spans="2:6">
      <c r="B7" s="7">
        <v>2</v>
      </c>
      <c r="C7" s="8" t="s">
        <v>68</v>
      </c>
      <c r="D7" s="9"/>
      <c r="E7" s="10">
        <v>120000</v>
      </c>
      <c r="F7" s="9" t="s">
        <v>69</v>
      </c>
    </row>
    <row r="8" ht="15.15" spans="2:6">
      <c r="B8" s="7">
        <v>3</v>
      </c>
      <c r="C8" s="8" t="s">
        <v>70</v>
      </c>
      <c r="D8" s="9"/>
      <c r="E8" s="10">
        <v>250000</v>
      </c>
      <c r="F8" s="9" t="s">
        <v>69</v>
      </c>
    </row>
    <row r="9" ht="15.15" spans="2:6">
      <c r="B9" s="7">
        <v>4</v>
      </c>
      <c r="C9" s="8" t="s">
        <v>71</v>
      </c>
      <c r="D9" s="9"/>
      <c r="E9" s="10">
        <v>150000</v>
      </c>
      <c r="F9" s="9" t="s">
        <v>69</v>
      </c>
    </row>
    <row r="10" ht="15.15" spans="2:6">
      <c r="B10" s="7">
        <v>5</v>
      </c>
      <c r="C10" s="8" t="s">
        <v>72</v>
      </c>
      <c r="D10" s="9"/>
      <c r="E10" s="10">
        <v>100000</v>
      </c>
      <c r="F10" s="9" t="s">
        <v>69</v>
      </c>
    </row>
    <row r="11" ht="15.15" spans="2:6">
      <c r="B11" s="7">
        <v>6</v>
      </c>
      <c r="C11" s="8" t="s">
        <v>73</v>
      </c>
      <c r="D11" s="9"/>
      <c r="E11" s="10">
        <v>100000</v>
      </c>
      <c r="F11" s="9" t="s">
        <v>69</v>
      </c>
    </row>
    <row r="12" ht="15.15" spans="2:6">
      <c r="B12" s="7">
        <v>7</v>
      </c>
      <c r="C12" s="8" t="s">
        <v>74</v>
      </c>
      <c r="D12" s="9"/>
      <c r="E12" s="10">
        <v>200000</v>
      </c>
      <c r="F12" s="9" t="s">
        <v>69</v>
      </c>
    </row>
    <row r="13" ht="15.15" spans="2:6">
      <c r="B13" s="7">
        <v>8</v>
      </c>
      <c r="C13" s="8" t="s">
        <v>25</v>
      </c>
      <c r="D13" s="9"/>
      <c r="E13" s="10">
        <v>600000</v>
      </c>
      <c r="F13" s="9" t="s">
        <v>69</v>
      </c>
    </row>
    <row r="14" ht="15.15" spans="2:9">
      <c r="B14" s="7">
        <v>9</v>
      </c>
      <c r="C14" s="8" t="s">
        <v>75</v>
      </c>
      <c r="D14" s="9"/>
      <c r="E14" s="10">
        <v>550000</v>
      </c>
      <c r="F14" s="9"/>
      <c r="I14" s="20"/>
    </row>
    <row r="15" ht="15.15" spans="2:6">
      <c r="B15" s="7">
        <v>10</v>
      </c>
      <c r="C15" s="8" t="s">
        <v>76</v>
      </c>
      <c r="D15" s="9"/>
      <c r="E15" s="10">
        <v>350000</v>
      </c>
      <c r="F15" s="9" t="s">
        <v>69</v>
      </c>
    </row>
    <row r="16" ht="15.15" spans="2:6">
      <c r="B16" s="7">
        <v>11</v>
      </c>
      <c r="C16" s="8" t="s">
        <v>77</v>
      </c>
      <c r="D16" s="9"/>
      <c r="E16" s="10">
        <v>500000</v>
      </c>
      <c r="F16" s="9"/>
    </row>
    <row r="17" ht="15.15" spans="2:6">
      <c r="B17" s="7">
        <v>12</v>
      </c>
      <c r="C17" s="8" t="s">
        <v>78</v>
      </c>
      <c r="D17" s="9"/>
      <c r="E17" s="10">
        <v>400000</v>
      </c>
      <c r="F17" s="9"/>
    </row>
    <row r="18" ht="15.15" spans="2:6">
      <c r="B18" s="7">
        <v>13</v>
      </c>
      <c r="C18" s="8" t="s">
        <v>79</v>
      </c>
      <c r="D18" s="9" t="s">
        <v>80</v>
      </c>
      <c r="E18" s="10">
        <v>500000</v>
      </c>
      <c r="F18" s="9"/>
    </row>
    <row r="19" ht="15.15" spans="2:6">
      <c r="B19" s="7">
        <v>14</v>
      </c>
      <c r="C19" s="8" t="s">
        <v>81</v>
      </c>
      <c r="D19" s="9" t="s">
        <v>82</v>
      </c>
      <c r="E19" s="10">
        <v>250000</v>
      </c>
      <c r="F19" s="9" t="s">
        <v>67</v>
      </c>
    </row>
    <row r="20" spans="2:6">
      <c r="B20" s="7">
        <v>15</v>
      </c>
      <c r="C20" s="8" t="s">
        <v>83</v>
      </c>
      <c r="D20" s="9" t="s">
        <v>84</v>
      </c>
      <c r="E20" s="10">
        <v>126000</v>
      </c>
      <c r="F20" s="9" t="s">
        <v>85</v>
      </c>
    </row>
    <row r="21" ht="15.15" spans="2:6">
      <c r="B21" s="7">
        <v>16</v>
      </c>
      <c r="C21" s="8" t="s">
        <v>86</v>
      </c>
      <c r="D21" s="9" t="s">
        <v>87</v>
      </c>
      <c r="E21" s="10">
        <v>720000</v>
      </c>
      <c r="F21" s="11"/>
    </row>
    <row r="22" ht="15.15" spans="2:6">
      <c r="B22" s="7">
        <v>17</v>
      </c>
      <c r="C22" s="8" t="s">
        <v>88</v>
      </c>
      <c r="D22" s="9"/>
      <c r="E22" s="10">
        <v>100000</v>
      </c>
      <c r="F22" s="9"/>
    </row>
    <row r="23" ht="15.15" spans="2:6">
      <c r="B23" s="7">
        <v>18</v>
      </c>
      <c r="C23" s="8" t="s">
        <v>89</v>
      </c>
      <c r="D23" s="9"/>
      <c r="E23" s="10">
        <v>250000</v>
      </c>
      <c r="F23" s="9" t="s">
        <v>69</v>
      </c>
    </row>
    <row r="24" ht="15.15" spans="2:6">
      <c r="B24" s="7">
        <v>19</v>
      </c>
      <c r="C24" s="8"/>
      <c r="D24" s="9"/>
      <c r="E24" s="10"/>
      <c r="F24" s="9"/>
    </row>
    <row r="25" ht="15.15" spans="2:6">
      <c r="B25" s="7">
        <v>20</v>
      </c>
      <c r="C25" s="8"/>
      <c r="D25" s="9"/>
      <c r="E25" s="10"/>
      <c r="F25" s="9"/>
    </row>
    <row r="26" ht="15.15" spans="2:6">
      <c r="B26" s="12"/>
      <c r="C26" s="13" t="s">
        <v>13</v>
      </c>
      <c r="D26" s="14"/>
      <c r="E26" s="15">
        <f>SUM(E6:E25)</f>
        <v>6166000</v>
      </c>
      <c r="F26" s="13"/>
    </row>
    <row r="27" spans="2:6">
      <c r="B27" s="16"/>
      <c r="C27" s="16"/>
      <c r="D27" s="16"/>
      <c r="E27" s="17"/>
      <c r="F27" s="16"/>
    </row>
    <row r="28" ht="15.15" spans="2:6">
      <c r="B28" s="16"/>
      <c r="C28" s="18" t="s">
        <v>90</v>
      </c>
      <c r="D28" s="18"/>
      <c r="E28" s="19">
        <v>3492000</v>
      </c>
      <c r="F28" s="16"/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PROFIT AND LOSS PROJECTION</vt:lpstr>
      <vt:lpstr>CASHFLOW PROJECTION</vt:lpstr>
      <vt:lpstr>FINANCIAL REQUIREMENT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Tunde Kuto</dc:creator>
  <cp:lastModifiedBy>HP</cp:lastModifiedBy>
  <dcterms:created xsi:type="dcterms:W3CDTF">2014-11-06T20:39:00Z</dcterms:created>
  <dcterms:modified xsi:type="dcterms:W3CDTF">2025-09-03T00:45:52Z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FA37627C0D9F4E03876D0C5F00AC6EAA_13</vt:lpwstr>
  </property>
  <property fmtid="{D5CDD505-2E9C-101B-9397-08002B2CF9AE}" pid="3" name="KSOProductBuildVer">
    <vt:lpwstr>2057-12.2.0.22549</vt:lpwstr>
  </property>
</Properties>
</file>